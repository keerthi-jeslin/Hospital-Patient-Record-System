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76298450-E780-49E5-9F08-C4A12054F41C}" xr6:coauthVersionLast="47" xr6:coauthVersionMax="47" xr10:uidLastSave="{00000000-0000-0000-0000-000000000000}"/>
  <bookViews>
    <workbookView xWindow="8820" yWindow="400" windowWidth="10170" windowHeight="9710" firstSheet="2" activeTab="2" xr2:uid="{B27C877E-7D89-49B2-A74D-EA98C7E22932}"/>
  </bookViews>
  <sheets>
    <sheet name="Patient Details" sheetId="1" r:id="rId1"/>
    <sheet name="Appointments" sheetId="2" r:id="rId2"/>
    <sheet name="Treatment History" sheetId="3" r:id="rId3"/>
    <sheet name="Summary Repor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1" l="1"/>
  <c r="A12" i="1"/>
  <c r="A11" i="1"/>
  <c r="A10" i="1"/>
  <c r="A9" i="1"/>
  <c r="A8" i="1"/>
  <c r="A7" i="1"/>
  <c r="A6" i="1"/>
  <c r="A5" i="1"/>
  <c r="A4" i="1"/>
  <c r="B4" i="4"/>
  <c r="B5" i="4"/>
  <c r="B3" i="4"/>
  <c r="B2" i="4" l="1"/>
</calcChain>
</file>

<file path=xl/sharedStrings.xml><?xml version="1.0" encoding="utf-8"?>
<sst xmlns="http://schemas.openxmlformats.org/spreadsheetml/2006/main" count="163" uniqueCount="100">
  <si>
    <t>HOSPITAL PATIENT RECORD SYSTEM</t>
  </si>
  <si>
    <t>Patient ID</t>
  </si>
  <si>
    <t>Patient Name</t>
  </si>
  <si>
    <t>Age</t>
  </si>
  <si>
    <t>Gender</t>
  </si>
  <si>
    <t>Phone Number</t>
  </si>
  <si>
    <t>Address</t>
  </si>
  <si>
    <t>Blood Group</t>
  </si>
  <si>
    <t>P001</t>
  </si>
  <si>
    <t>Male</t>
  </si>
  <si>
    <t>O+</t>
  </si>
  <si>
    <t xml:space="preserve"> Arun Kumar</t>
  </si>
  <si>
    <t>P002</t>
  </si>
  <si>
    <t>Priya Devi</t>
  </si>
  <si>
    <t>Female</t>
  </si>
  <si>
    <t>Madurai</t>
  </si>
  <si>
    <t>A+</t>
  </si>
  <si>
    <t>Appointment ID</t>
  </si>
  <si>
    <t>Doctor Name</t>
  </si>
  <si>
    <t>Date</t>
  </si>
  <si>
    <t>Time</t>
  </si>
  <si>
    <t>Status</t>
  </si>
  <si>
    <t>A001</t>
  </si>
  <si>
    <t>Dr Raj</t>
  </si>
  <si>
    <t>Completed</t>
  </si>
  <si>
    <t>A002</t>
  </si>
  <si>
    <t>Dr Kumar</t>
  </si>
  <si>
    <t>Pending</t>
  </si>
  <si>
    <t>Treatment ID</t>
  </si>
  <si>
    <t>Disease</t>
  </si>
  <si>
    <t>Medicine</t>
  </si>
  <si>
    <t>Treatement Date</t>
  </si>
  <si>
    <t>Doctor</t>
  </si>
  <si>
    <t>T001</t>
  </si>
  <si>
    <t>Fever</t>
  </si>
  <si>
    <t>Paracetamol</t>
  </si>
  <si>
    <t>T002</t>
  </si>
  <si>
    <t>Cold</t>
  </si>
  <si>
    <t>Cetirizine</t>
  </si>
  <si>
    <t>Item</t>
  </si>
  <si>
    <t>count</t>
  </si>
  <si>
    <t>Total Patients</t>
  </si>
  <si>
    <t>Total Appointments</t>
  </si>
  <si>
    <t>Pending Appointments</t>
  </si>
  <si>
    <t>completed Appointments</t>
  </si>
  <si>
    <t>Chennai</t>
  </si>
  <si>
    <t>P003</t>
  </si>
  <si>
    <t>Karthi</t>
  </si>
  <si>
    <t>Selam</t>
  </si>
  <si>
    <t>B+</t>
  </si>
  <si>
    <t>A003</t>
  </si>
  <si>
    <t>T003</t>
  </si>
  <si>
    <t>Aris</t>
  </si>
  <si>
    <t>Tumer</t>
  </si>
  <si>
    <t>P004</t>
  </si>
  <si>
    <t>P005</t>
  </si>
  <si>
    <t>P006</t>
  </si>
  <si>
    <t>P007</t>
  </si>
  <si>
    <t>P008</t>
  </si>
  <si>
    <t>P009</t>
  </si>
  <si>
    <t>Janani</t>
  </si>
  <si>
    <t>Renu</t>
  </si>
  <si>
    <t>Kavitha Arun</t>
  </si>
  <si>
    <t>Kathirvel</t>
  </si>
  <si>
    <t>Radha</t>
  </si>
  <si>
    <t>Kanisha</t>
  </si>
  <si>
    <t>jenish</t>
  </si>
  <si>
    <t>Thoothukudi</t>
  </si>
  <si>
    <t>Theni</t>
  </si>
  <si>
    <t>Thirunelveli</t>
  </si>
  <si>
    <t>Thirupur</t>
  </si>
  <si>
    <t>Vellor</t>
  </si>
  <si>
    <t>B1+</t>
  </si>
  <si>
    <t>A-</t>
  </si>
  <si>
    <t>A1-</t>
  </si>
  <si>
    <t>A004</t>
  </si>
  <si>
    <t>A005</t>
  </si>
  <si>
    <t>A006</t>
  </si>
  <si>
    <t>A007</t>
  </si>
  <si>
    <t>A008</t>
  </si>
  <si>
    <t>A009</t>
  </si>
  <si>
    <t>13:00 PM</t>
  </si>
  <si>
    <t>14:00 PM</t>
  </si>
  <si>
    <t>15:00 PM</t>
  </si>
  <si>
    <t>16:00 PM</t>
  </si>
  <si>
    <t>17:00 PM</t>
  </si>
  <si>
    <t>18:00 PM</t>
  </si>
  <si>
    <t>19:00 PM</t>
  </si>
  <si>
    <t>T004</t>
  </si>
  <si>
    <t>T005</t>
  </si>
  <si>
    <t>T006</t>
  </si>
  <si>
    <t>T007</t>
  </si>
  <si>
    <t>T008</t>
  </si>
  <si>
    <t>T009</t>
  </si>
  <si>
    <t>Cough</t>
  </si>
  <si>
    <t>Fracture</t>
  </si>
  <si>
    <t>Elim</t>
  </si>
  <si>
    <t>A010</t>
  </si>
  <si>
    <t>P010</t>
  </si>
  <si>
    <t>T010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</si>
</sst>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 indent="2"/>
    </xf>
    <xf numFmtId="1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2"/>
    </xf>
    <xf numFmtId="18" fontId="0" fillId="0" borderId="0" xfId="0" applyNumberFormat="1" applyAlignment="1">
      <alignment horizontal="left" indent="2"/>
    </xf>
    <xf numFmtId="0" fontId="0" fillId="0" borderId="0" xfId="0" applyAlignment="1">
      <alignment horizontal="left" indent="4"/>
    </xf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left" indent="2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C6-46E2-AA40-240C0AA267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C6-46E2-AA40-240C0AA267BE}"/>
              </c:ext>
            </c:extLst>
          </c:dPt>
          <c:cat>
            <c:strRef>
              <c:f>'Summary Report'!$A$4:$A$5</c:f>
              <c:strCache>
                <c:ptCount val="2"/>
                <c:pt idx="0">
                  <c:v>completed Appointments</c:v>
                </c:pt>
                <c:pt idx="1">
                  <c:v>Pending Appointments</c:v>
                </c:pt>
              </c:strCache>
            </c:strRef>
          </c:cat>
          <c:val>
            <c:numRef>
              <c:f>'Summary Report'!$B$4:$B$5</c:f>
              <c:numCache>
                <c:formatCode>General</c:formatCode>
                <c:ptCount val="2"/>
                <c:pt idx="0">
                  <c:v>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B-477C-B10D-59E3DB49E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179593</xdr:colOff>
      <xdr:row>1</xdr:row>
      <xdr:rowOff>19120</xdr:rowOff>
    </xdr:from>
    <xdr:to>
      <xdr:col>9</xdr:col>
      <xdr:colOff>485228</xdr:colOff>
      <xdr:row>15</xdr:row>
      <xdr:rowOff>184221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8F87C9-7C24-A428-AE31-6204ACDD0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3E35-CFF3-4EB1-87B6-ABB85C578E17}">
  <dimension ref="A1:G100"/>
  <sheetViews>
    <sheetView topLeftCell="A4" workbookViewId="0">
      <selection activeCell="A13" sqref="A13"/>
    </sheetView>
  </sheetViews>
  <sheetFormatPr defaultRowHeight="14.5"/>
  <cols>
    <col min="1" max="1" width="12.81640625" customWidth="1"/>
    <col min="2" max="2" width="15.08984375" customWidth="1"/>
    <col min="4" max="4" width="10.08984375" customWidth="1"/>
    <col min="5" max="5" width="16" customWidth="1"/>
    <col min="6" max="6" width="16.36328125" customWidth="1"/>
    <col min="7" max="7" width="12.54296875" customWidth="1"/>
  </cols>
  <sheetData>
    <row r="1" spans="1:7" ht="49" customHeight="1">
      <c r="A1" s="7" t="s">
        <v>0</v>
      </c>
      <c r="B1" s="7"/>
      <c r="C1" s="7"/>
      <c r="D1" s="7"/>
      <c r="E1" s="7"/>
      <c r="F1" s="7"/>
      <c r="G1" s="7"/>
    </row>
    <row r="3" spans="1:7" ht="41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</row>
    <row r="4" spans="1:7">
      <c r="A4" s="3" t="str">
        <f>"P"&amp;TEXT(ROW()-3,"000")</f>
        <v>P001</v>
      </c>
      <c r="B4" s="3" t="s">
        <v>11</v>
      </c>
      <c r="C4" s="3">
        <v>25</v>
      </c>
      <c r="D4" s="3" t="s">
        <v>9</v>
      </c>
      <c r="E4" s="3">
        <v>9342588608</v>
      </c>
      <c r="F4" s="3" t="s">
        <v>45</v>
      </c>
      <c r="G4" s="3" t="s">
        <v>10</v>
      </c>
    </row>
    <row r="5" spans="1:7">
      <c r="A5" s="3" t="str">
        <f>"P"&amp;TEXT(ROW()-3,"000")</f>
        <v>P002</v>
      </c>
      <c r="B5" s="3" t="s">
        <v>13</v>
      </c>
      <c r="C5" s="3">
        <v>30</v>
      </c>
      <c r="D5" s="3" t="s">
        <v>14</v>
      </c>
      <c r="E5" s="3">
        <v>7429479793</v>
      </c>
      <c r="F5" s="3" t="s">
        <v>15</v>
      </c>
      <c r="G5" s="3" t="s">
        <v>16</v>
      </c>
    </row>
    <row r="6" spans="1:7">
      <c r="A6" s="3" t="str">
        <f>"P"&amp;TEXT(ROW()-3,"000")</f>
        <v>P003</v>
      </c>
      <c r="B6" s="3" t="s">
        <v>47</v>
      </c>
      <c r="C6" s="3">
        <v>15</v>
      </c>
      <c r="D6" s="3" t="s">
        <v>9</v>
      </c>
      <c r="E6" s="3">
        <v>7492036503</v>
      </c>
      <c r="F6" s="3" t="s">
        <v>48</v>
      </c>
      <c r="G6" s="3" t="s">
        <v>49</v>
      </c>
    </row>
    <row r="7" spans="1:7">
      <c r="A7" s="3" t="str">
        <f>"P"&amp;TEXT(ROW()-3,"000")</f>
        <v>P004</v>
      </c>
      <c r="B7" s="3" t="s">
        <v>60</v>
      </c>
      <c r="C7" s="3">
        <v>30</v>
      </c>
      <c r="D7" s="3" t="s">
        <v>14</v>
      </c>
      <c r="E7" s="3">
        <v>7492036503</v>
      </c>
      <c r="F7" s="8" t="s">
        <v>45</v>
      </c>
      <c r="G7" s="3" t="s">
        <v>10</v>
      </c>
    </row>
    <row r="8" spans="1:7">
      <c r="A8" s="3" t="str">
        <f>"P"&amp;TEXT(ROW()-3,"000")</f>
        <v>P005</v>
      </c>
      <c r="B8" s="3" t="s">
        <v>61</v>
      </c>
      <c r="C8" s="3">
        <v>16</v>
      </c>
      <c r="D8" s="3" t="s">
        <v>14</v>
      </c>
      <c r="E8" s="3">
        <v>7492036503</v>
      </c>
      <c r="F8" s="8" t="s">
        <v>67</v>
      </c>
      <c r="G8" s="3" t="s">
        <v>72</v>
      </c>
    </row>
    <row r="9" spans="1:7">
      <c r="A9" s="3" t="str">
        <f>"P"&amp;TEXT(ROW()-3,"000")</f>
        <v>P006</v>
      </c>
      <c r="B9" s="3" t="s">
        <v>62</v>
      </c>
      <c r="C9" s="3">
        <v>26</v>
      </c>
      <c r="D9" s="3" t="s">
        <v>14</v>
      </c>
      <c r="E9" s="3">
        <v>7492036503</v>
      </c>
      <c r="F9" s="8" t="s">
        <v>15</v>
      </c>
      <c r="G9" s="3" t="s">
        <v>73</v>
      </c>
    </row>
    <row r="10" spans="1:7">
      <c r="A10" s="3" t="str">
        <f>"P"&amp;TEXT(ROW()-3,"000")</f>
        <v>P007</v>
      </c>
      <c r="B10" s="3" t="s">
        <v>63</v>
      </c>
      <c r="C10" s="3">
        <v>58</v>
      </c>
      <c r="D10" s="3" t="s">
        <v>9</v>
      </c>
      <c r="E10" s="3">
        <v>7492036503</v>
      </c>
      <c r="F10" s="8" t="s">
        <v>68</v>
      </c>
      <c r="G10" s="3" t="s">
        <v>16</v>
      </c>
    </row>
    <row r="11" spans="1:7">
      <c r="A11" s="3" t="str">
        <f>"P"&amp;TEXT(ROW()-3,"000")</f>
        <v>P008</v>
      </c>
      <c r="B11" s="3" t="s">
        <v>66</v>
      </c>
      <c r="C11" s="3">
        <v>22</v>
      </c>
      <c r="D11" s="3" t="s">
        <v>9</v>
      </c>
      <c r="E11" s="3">
        <v>7492036503</v>
      </c>
      <c r="F11" s="8" t="s">
        <v>69</v>
      </c>
      <c r="G11" s="3" t="s">
        <v>49</v>
      </c>
    </row>
    <row r="12" spans="1:7">
      <c r="A12" s="3" t="str">
        <f>"P"&amp;TEXT(ROW()-3,"000")</f>
        <v>P009</v>
      </c>
      <c r="B12" s="3" t="s">
        <v>64</v>
      </c>
      <c r="C12" s="3">
        <v>12</v>
      </c>
      <c r="D12" s="3" t="s">
        <v>14</v>
      </c>
      <c r="E12" s="3">
        <v>7492036503</v>
      </c>
      <c r="F12" s="8" t="s">
        <v>70</v>
      </c>
      <c r="G12" s="3" t="s">
        <v>49</v>
      </c>
    </row>
    <row r="13" spans="1:7">
      <c r="A13" s="3" t="str">
        <f>"P"&amp;TEXT(ROW()-3,"000")</f>
        <v>P010</v>
      </c>
      <c r="B13" s="3" t="s">
        <v>65</v>
      </c>
      <c r="C13" s="3">
        <v>44</v>
      </c>
      <c r="D13" s="3" t="s">
        <v>9</v>
      </c>
      <c r="E13" s="3">
        <v>7492036503</v>
      </c>
      <c r="F13" s="8" t="s">
        <v>71</v>
      </c>
      <c r="G13" s="3" t="s">
        <v>74</v>
      </c>
    </row>
    <row r="14" spans="1:7">
      <c r="A14" s="3"/>
      <c r="B14" s="3"/>
      <c r="C14" s="3"/>
      <c r="D14" s="3"/>
      <c r="E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 count="1">
    <mergeCell ref="A1:G1"/>
  </mergeCells>
  <dataValidations count="1">
    <dataValidation type="list" allowBlank="1" showInputMessage="1" showErrorMessage="1" sqref="D3:D100" xr:uid="{1EB5B490-1C76-4052-8AB5-55A64159FB0A}">
      <formula1>"Male,Female,Others"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7B41-0FA6-4974-9433-DB7597482C25}">
  <dimension ref="A1:F100"/>
  <sheetViews>
    <sheetView workbookViewId="0">
      <selection activeCell="A11" sqref="A11"/>
    </sheetView>
  </sheetViews>
  <sheetFormatPr defaultRowHeight="14.5"/>
  <cols>
    <col min="1" max="1" width="15.1796875" customWidth="1"/>
    <col min="2" max="2" width="10.1796875" customWidth="1"/>
    <col min="3" max="3" width="13.26953125" customWidth="1"/>
    <col min="4" max="4" width="15.54296875" customWidth="1"/>
    <col min="5" max="5" width="14.1796875" customWidth="1"/>
    <col min="6" max="6" width="15.453125" customWidth="1"/>
  </cols>
  <sheetData>
    <row r="1" spans="1:6" ht="28" customHeight="1">
      <c r="A1" s="9" t="s">
        <v>17</v>
      </c>
      <c r="B1" s="9" t="s">
        <v>1</v>
      </c>
      <c r="C1" s="9" t="s">
        <v>18</v>
      </c>
      <c r="D1" s="9" t="s">
        <v>19</v>
      </c>
      <c r="E1" s="9" t="s">
        <v>20</v>
      </c>
      <c r="F1" s="9" t="s">
        <v>21</v>
      </c>
    </row>
    <row r="2" spans="1:6">
      <c r="A2" s="3" t="s">
        <v>22</v>
      </c>
      <c r="B2" s="3" t="s">
        <v>8</v>
      </c>
      <c r="C2" s="3" t="s">
        <v>23</v>
      </c>
      <c r="D2" s="4">
        <v>46183</v>
      </c>
      <c r="E2" s="5">
        <v>0.41666666666666669</v>
      </c>
      <c r="F2" s="3" t="s">
        <v>24</v>
      </c>
    </row>
    <row r="3" spans="1:6">
      <c r="A3" s="3" t="s">
        <v>25</v>
      </c>
      <c r="B3" s="3" t="s">
        <v>12</v>
      </c>
      <c r="C3" s="3" t="s">
        <v>26</v>
      </c>
      <c r="D3" s="4">
        <v>46183</v>
      </c>
      <c r="E3" s="5">
        <v>0.45833333333333331</v>
      </c>
      <c r="F3" s="3" t="s">
        <v>24</v>
      </c>
    </row>
    <row r="4" spans="1:6">
      <c r="A4" s="3" t="s">
        <v>50</v>
      </c>
      <c r="B4" s="3" t="s">
        <v>46</v>
      </c>
      <c r="C4" s="3" t="s">
        <v>26</v>
      </c>
      <c r="D4" s="4">
        <v>46183</v>
      </c>
      <c r="E4" s="5">
        <v>0.5</v>
      </c>
      <c r="F4" s="3" t="s">
        <v>24</v>
      </c>
    </row>
    <row r="5" spans="1:6">
      <c r="A5" s="3" t="s">
        <v>75</v>
      </c>
      <c r="B5" s="3" t="s">
        <v>54</v>
      </c>
      <c r="C5" s="3" t="s">
        <v>23</v>
      </c>
      <c r="D5" s="4">
        <v>46183</v>
      </c>
      <c r="E5" s="3" t="s">
        <v>81</v>
      </c>
      <c r="F5" s="3" t="s">
        <v>24</v>
      </c>
    </row>
    <row r="6" spans="1:6">
      <c r="A6" s="3" t="s">
        <v>76</v>
      </c>
      <c r="B6" s="3" t="s">
        <v>55</v>
      </c>
      <c r="C6" s="3" t="s">
        <v>26</v>
      </c>
      <c r="D6" s="4">
        <v>46183</v>
      </c>
      <c r="E6" s="3" t="s">
        <v>82</v>
      </c>
      <c r="F6" s="3" t="s">
        <v>24</v>
      </c>
    </row>
    <row r="7" spans="1:6">
      <c r="A7" s="3" t="s">
        <v>77</v>
      </c>
      <c r="B7" s="3" t="s">
        <v>56</v>
      </c>
      <c r="C7" s="3" t="s">
        <v>23</v>
      </c>
      <c r="D7" s="4">
        <v>46183</v>
      </c>
      <c r="E7" s="3" t="s">
        <v>83</v>
      </c>
      <c r="F7" s="3" t="s">
        <v>24</v>
      </c>
    </row>
    <row r="8" spans="1:6">
      <c r="A8" s="3" t="s">
        <v>78</v>
      </c>
      <c r="B8" s="3" t="s">
        <v>57</v>
      </c>
      <c r="C8" s="3" t="s">
        <v>26</v>
      </c>
      <c r="D8" s="4">
        <v>46183</v>
      </c>
      <c r="E8" s="3" t="s">
        <v>84</v>
      </c>
      <c r="F8" s="3" t="s">
        <v>24</v>
      </c>
    </row>
    <row r="9" spans="1:6">
      <c r="A9" s="3" t="s">
        <v>79</v>
      </c>
      <c r="B9" s="3" t="s">
        <v>58</v>
      </c>
      <c r="C9" s="3" t="s">
        <v>23</v>
      </c>
      <c r="D9" s="4">
        <v>46183</v>
      </c>
      <c r="E9" s="3" t="s">
        <v>85</v>
      </c>
      <c r="F9" s="3" t="s">
        <v>27</v>
      </c>
    </row>
    <row r="10" spans="1:6">
      <c r="A10" s="3" t="s">
        <v>80</v>
      </c>
      <c r="B10" s="3" t="s">
        <v>59</v>
      </c>
      <c r="C10" s="3" t="s">
        <v>26</v>
      </c>
      <c r="D10" s="4">
        <v>46183</v>
      </c>
      <c r="E10" s="3" t="s">
        <v>86</v>
      </c>
      <c r="F10" s="3" t="s">
        <v>27</v>
      </c>
    </row>
    <row r="11" spans="1:6">
      <c r="A11" s="3" t="s">
        <v>97</v>
      </c>
      <c r="B11" s="3" t="s">
        <v>98</v>
      </c>
      <c r="C11" s="3" t="s">
        <v>23</v>
      </c>
      <c r="D11" s="4">
        <v>46183</v>
      </c>
      <c r="E11" s="3" t="s">
        <v>87</v>
      </c>
      <c r="F11" s="3" t="s">
        <v>27</v>
      </c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dataValidations count="1">
    <dataValidation type="list" allowBlank="1" showInputMessage="1" showErrorMessage="1" sqref="F1:F100" xr:uid="{6269B1D3-3894-4E36-8928-920C6CF2692D}">
      <formula1>"Completed,Pending,Cancelled"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0847-BA2E-48F7-92A5-2864278E318C}">
  <dimension ref="A1:F100"/>
  <sheetViews>
    <sheetView tabSelected="1" workbookViewId="0">
      <selection activeCell="B11" sqref="B11"/>
    </sheetView>
  </sheetViews>
  <sheetFormatPr defaultRowHeight="14.5"/>
  <cols>
    <col min="1" max="1" width="14.90625" customWidth="1"/>
    <col min="2" max="2" width="11.1796875" customWidth="1"/>
    <col min="3" max="3" width="14" customWidth="1"/>
    <col min="4" max="4" width="14.6328125" customWidth="1"/>
    <col min="5" max="5" width="16.54296875" customWidth="1"/>
    <col min="6" max="6" width="13.26953125" customWidth="1"/>
  </cols>
  <sheetData>
    <row r="1" spans="1:6" ht="30.5" customHeight="1">
      <c r="A1" s="9" t="s">
        <v>28</v>
      </c>
      <c r="B1" s="9" t="s">
        <v>1</v>
      </c>
      <c r="C1" s="9" t="s">
        <v>29</v>
      </c>
      <c r="D1" s="9" t="s">
        <v>30</v>
      </c>
      <c r="E1" s="9" t="s">
        <v>31</v>
      </c>
      <c r="F1" s="9" t="s">
        <v>32</v>
      </c>
    </row>
    <row r="2" spans="1:6">
      <c r="A2" s="1" t="s">
        <v>33</v>
      </c>
      <c r="B2" s="1" t="s">
        <v>8</v>
      </c>
      <c r="C2" s="1" t="s">
        <v>34</v>
      </c>
      <c r="D2" s="1" t="s">
        <v>35</v>
      </c>
      <c r="E2" s="2">
        <v>46183</v>
      </c>
      <c r="F2" s="1" t="s">
        <v>23</v>
      </c>
    </row>
    <row r="3" spans="1:6">
      <c r="A3" s="1" t="s">
        <v>36</v>
      </c>
      <c r="B3" s="1" t="s">
        <v>12</v>
      </c>
      <c r="C3" s="1" t="s">
        <v>37</v>
      </c>
      <c r="D3" s="1" t="s">
        <v>38</v>
      </c>
      <c r="E3" s="2">
        <v>46183</v>
      </c>
      <c r="F3" s="1" t="s">
        <v>26</v>
      </c>
    </row>
    <row r="4" spans="1:6">
      <c r="A4" s="3" t="s">
        <v>51</v>
      </c>
      <c r="B4" s="3" t="s">
        <v>46</v>
      </c>
      <c r="C4" s="3" t="s">
        <v>53</v>
      </c>
      <c r="D4" s="3" t="s">
        <v>52</v>
      </c>
      <c r="E4" s="4">
        <v>46183</v>
      </c>
      <c r="F4" s="3" t="s">
        <v>26</v>
      </c>
    </row>
    <row r="5" spans="1:6">
      <c r="A5" s="3" t="s">
        <v>88</v>
      </c>
      <c r="B5" s="3" t="s">
        <v>54</v>
      </c>
      <c r="C5" s="3" t="s">
        <v>94</v>
      </c>
      <c r="D5" s="3" t="s">
        <v>38</v>
      </c>
      <c r="E5" s="4">
        <v>46183</v>
      </c>
      <c r="F5" s="3" t="s">
        <v>23</v>
      </c>
    </row>
    <row r="6" spans="1:6">
      <c r="A6" s="3" t="s">
        <v>89</v>
      </c>
      <c r="B6" s="3" t="s">
        <v>55</v>
      </c>
      <c r="C6" s="3" t="s">
        <v>95</v>
      </c>
      <c r="D6" s="3" t="s">
        <v>96</v>
      </c>
      <c r="E6" s="4">
        <v>46183</v>
      </c>
      <c r="F6" s="3" t="s">
        <v>26</v>
      </c>
    </row>
    <row r="7" spans="1:6">
      <c r="A7" s="3" t="s">
        <v>90</v>
      </c>
      <c r="B7" s="3" t="s">
        <v>56</v>
      </c>
      <c r="C7" s="3" t="s">
        <v>34</v>
      </c>
      <c r="D7" s="3" t="s">
        <v>35</v>
      </c>
      <c r="E7" s="4">
        <v>46183</v>
      </c>
      <c r="F7" s="3" t="s">
        <v>23</v>
      </c>
    </row>
    <row r="8" spans="1:6">
      <c r="A8" s="3" t="s">
        <v>91</v>
      </c>
      <c r="B8" s="3" t="s">
        <v>57</v>
      </c>
      <c r="C8" s="3" t="s">
        <v>34</v>
      </c>
      <c r="D8" s="3" t="s">
        <v>35</v>
      </c>
      <c r="E8" s="4">
        <v>46183</v>
      </c>
      <c r="F8" s="3" t="s">
        <v>26</v>
      </c>
    </row>
    <row r="9" spans="1:6">
      <c r="A9" s="3" t="s">
        <v>92</v>
      </c>
      <c r="B9" s="3" t="s">
        <v>58</v>
      </c>
      <c r="C9" s="3" t="s">
        <v>34</v>
      </c>
      <c r="D9" s="3" t="s">
        <v>35</v>
      </c>
      <c r="E9" s="4">
        <v>46183</v>
      </c>
      <c r="F9" s="3" t="s">
        <v>23</v>
      </c>
    </row>
    <row r="10" spans="1:6">
      <c r="A10" s="3" t="s">
        <v>93</v>
      </c>
      <c r="B10" s="3" t="s">
        <v>59</v>
      </c>
      <c r="C10" s="3" t="s">
        <v>37</v>
      </c>
      <c r="D10" s="3" t="s">
        <v>38</v>
      </c>
      <c r="E10" s="4">
        <v>46183</v>
      </c>
      <c r="F10" s="3" t="s">
        <v>26</v>
      </c>
    </row>
    <row r="11" spans="1:6">
      <c r="A11" s="3" t="s">
        <v>99</v>
      </c>
      <c r="B11" s="3" t="s">
        <v>98</v>
      </c>
      <c r="C11" s="3" t="s">
        <v>37</v>
      </c>
      <c r="D11" s="3" t="s">
        <v>38</v>
      </c>
      <c r="E11" s="4">
        <v>46183</v>
      </c>
      <c r="F11" s="3" t="s">
        <v>23</v>
      </c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361A-E12C-4DBC-88D3-E72B16498D1F}">
  <dimension ref="A1:B6"/>
  <sheetViews>
    <sheetView zoomScale="99" workbookViewId="0">
      <selection activeCell="B9" sqref="B9"/>
    </sheetView>
  </sheetViews>
  <sheetFormatPr defaultRowHeight="14.5"/>
  <cols>
    <col min="1" max="1" width="28.1796875" customWidth="1"/>
    <col min="2" max="2" width="14.453125" customWidth="1"/>
  </cols>
  <sheetData>
    <row r="1" spans="1:2" ht="28.5" customHeight="1">
      <c r="A1" s="9" t="s">
        <v>39</v>
      </c>
      <c r="B1" s="9" t="s">
        <v>40</v>
      </c>
    </row>
    <row r="2" spans="1:2">
      <c r="A2" s="3" t="s">
        <v>41</v>
      </c>
      <c r="B2" s="6">
        <f>COUNTA('Patient Details'!A:A)-3</f>
        <v>9</v>
      </c>
    </row>
    <row r="3" spans="1:2">
      <c r="A3" s="3" t="s">
        <v>42</v>
      </c>
      <c r="B3" s="6">
        <f>COUNTA(Appointments!A:A)-1</f>
        <v>10</v>
      </c>
    </row>
    <row r="4" spans="1:2">
      <c r="A4" s="3" t="s">
        <v>44</v>
      </c>
      <c r="B4" s="6">
        <f>COUNTIF(Appointments!F:F,"Completed")</f>
        <v>7</v>
      </c>
    </row>
    <row r="5" spans="1:2">
      <c r="A5" s="3" t="s">
        <v>43</v>
      </c>
      <c r="B5" s="6">
        <f>COUNTIF(Appointments!F:F,"Pending")</f>
        <v>3</v>
      </c>
    </row>
    <row r="6" spans="1:2" ht="14.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 Details</vt:lpstr>
      <vt:lpstr>Appointments</vt:lpstr>
      <vt:lpstr>Treatment History</vt:lpstr>
      <vt:lpstr>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Jeslin</dc:creator>
  <cp:lastModifiedBy>Keerthi Jeslin</cp:lastModifiedBy>
  <dcterms:created xsi:type="dcterms:W3CDTF">2026-06-10T13:25:04Z</dcterms:created>
  <dcterms:modified xsi:type="dcterms:W3CDTF">2026-06-11T06:27:28Z</dcterms:modified>
</cp:coreProperties>
</file>